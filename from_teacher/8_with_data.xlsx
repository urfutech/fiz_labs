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нтон\Yandex.Disk\ПРАКТИКУМ\!Автопроверка отчетов\"/>
    </mc:Choice>
  </mc:AlternateContent>
  <xr:revisionPtr revIDLastSave="0" documentId="13_ncr:1_{A7896E80-3420-47B4-8D9B-4D1E7946FD8E}" xr6:coauthVersionLast="47" xr6:coauthVersionMax="47" xr10:uidLastSave="{00000000-0000-0000-0000-000000000000}"/>
  <bookViews>
    <workbookView xWindow="-120" yWindow="-120" windowWidth="29040" windowHeight="15720" xr2:uid="{A51220DA-7499-4B53-A734-80C76CD75A7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5" i="1" l="1"/>
  <c r="B52" i="1"/>
  <c r="B48" i="1"/>
  <c r="B41" i="1"/>
  <c r="B40" i="1"/>
  <c r="B39" i="1"/>
  <c r="B37" i="1"/>
  <c r="B45" i="1" s="1"/>
  <c r="B33" i="1"/>
  <c r="B32" i="1"/>
  <c r="C59" i="1" l="1"/>
  <c r="C58" i="1"/>
  <c r="B38" i="1"/>
</calcChain>
</file>

<file path=xl/sharedStrings.xml><?xml version="1.0" encoding="utf-8"?>
<sst xmlns="http://schemas.openxmlformats.org/spreadsheetml/2006/main" count="77" uniqueCount="68">
  <si>
    <t>1. Расчетные формулы</t>
  </si>
  <si>
    <t>молярная масса воздуха</t>
  </si>
  <si>
    <t>масса (колбы) и давление (воздуха/в колбе) до откачки</t>
  </si>
  <si>
    <t>масса (колбы) и давление (воздуха/в колбе) после откачки</t>
  </si>
  <si>
    <t>объем колбы</t>
  </si>
  <si>
    <t>температура (газа)</t>
  </si>
  <si>
    <t>плотность</t>
  </si>
  <si>
    <t>2. Эскиз установки</t>
  </si>
  <si>
    <t>стеклянная колба</t>
  </si>
  <si>
    <t>кран</t>
  </si>
  <si>
    <t>резинвоая трубка</t>
  </si>
  <si>
    <t>вакуумметр</t>
  </si>
  <si>
    <t>наименование средства измерения</t>
  </si>
  <si>
    <t>предел измерений или номинальное значение</t>
  </si>
  <si>
    <t>цена деления шкалы</t>
  </si>
  <si>
    <t>предел основной погрешности</t>
  </si>
  <si>
    <t>г.</t>
  </si>
  <si>
    <t>Необходимы отдельные поля для значений и единиц измерения</t>
  </si>
  <si>
    <t>3. Средства измерений и их характеристики</t>
  </si>
  <si>
    <t xml:space="preserve">Вакуумметр  образцовый </t>
  </si>
  <si>
    <t>Пробелы в наименованиях ед.изм. при проверке не учитывать</t>
  </si>
  <si>
    <t>Наличие точки после единиц измерения необязательно.</t>
  </si>
  <si>
    <t>Термометр ртутный</t>
  </si>
  <si>
    <t>С</t>
  </si>
  <si>
    <t>см^3</t>
  </si>
  <si>
    <t>Стеклянная колба или Стеклянная колба №…</t>
  </si>
  <si>
    <t>4. Результаты измерений</t>
  </si>
  <si>
    <t>p1</t>
  </si>
  <si>
    <t>у.е. или усл.ед.</t>
  </si>
  <si>
    <t>T, K</t>
  </si>
  <si>
    <t>m1, г</t>
  </si>
  <si>
    <t>m2, г</t>
  </si>
  <si>
    <t>p1-p2, у.е.</t>
  </si>
  <si>
    <t>1 усл. ед. давления равна</t>
  </si>
  <si>
    <t>Па</t>
  </si>
  <si>
    <t>ρ</t>
  </si>
  <si>
    <t>M</t>
  </si>
  <si>
    <r>
      <t xml:space="preserve">5. Расчет M и </t>
    </r>
    <r>
      <rPr>
        <b/>
        <sz val="11"/>
        <color theme="1"/>
        <rFont val="Aptos Narrow"/>
        <family val="2"/>
      </rPr>
      <t>ρ</t>
    </r>
  </si>
  <si>
    <t>Разность m1-m2 должна быть в интервале 0,2-0,4, иначе оба поля становятся красного цвета</t>
  </si>
  <si>
    <t>6. Расчет погрешностей измерений</t>
  </si>
  <si>
    <r>
      <t>Δ</t>
    </r>
    <r>
      <rPr>
        <sz val="11"/>
        <color theme="1"/>
        <rFont val="Aptos Narrow"/>
        <family val="2"/>
        <charset val="204"/>
      </rPr>
      <t>m</t>
    </r>
    <r>
      <rPr>
        <sz val="11"/>
        <color theme="1"/>
        <rFont val="Aptos Narrow"/>
        <family val="2"/>
      </rPr>
      <t>1</t>
    </r>
  </si>
  <si>
    <r>
      <t>Δ</t>
    </r>
    <r>
      <rPr>
        <sz val="11"/>
        <color theme="1"/>
        <rFont val="Aptos Narrow"/>
        <family val="2"/>
        <charset val="204"/>
      </rPr>
      <t>m</t>
    </r>
    <r>
      <rPr>
        <sz val="11"/>
        <color theme="1"/>
        <rFont val="Aptos Narrow"/>
        <family val="2"/>
      </rPr>
      <t>2</t>
    </r>
  </si>
  <si>
    <t>Δ(p1-p2)</t>
  </si>
  <si>
    <t>ΔT</t>
  </si>
  <si>
    <t>Δp1</t>
  </si>
  <si>
    <t>гПа или мм.рт.ст.</t>
  </si>
  <si>
    <t xml:space="preserve">6.2. Вычисление границы относительной погрешности  результата  измерения молярной массы воздуха </t>
  </si>
  <si>
    <r>
      <rPr>
        <sz val="11"/>
        <color theme="1"/>
        <rFont val="Aptos Narrow"/>
        <family val="2"/>
      </rPr>
      <t>γ</t>
    </r>
    <r>
      <rPr>
        <sz val="11"/>
        <color theme="1"/>
        <rFont val="Aptos Narrow"/>
        <family val="2"/>
        <charset val="204"/>
      </rPr>
      <t>M</t>
    </r>
  </si>
  <si>
    <t xml:space="preserve">6.3. Вычисление   границы  абсолютной  погрешности  результата  измерения молярной массы:  </t>
  </si>
  <si>
    <t>ΔM</t>
  </si>
  <si>
    <t xml:space="preserve">6.4. Вычисление границы относительной погрешности  результата  измерения плотности воздуха </t>
  </si>
  <si>
    <r>
      <t>γ</t>
    </r>
    <r>
      <rPr>
        <sz val="11"/>
        <color theme="1"/>
        <rFont val="Aptos Narrow"/>
        <family val="2"/>
        <charset val="204"/>
      </rPr>
      <t>ρ</t>
    </r>
  </si>
  <si>
    <t>Δρ</t>
  </si>
  <si>
    <t>6.5. Вычисление границы абсолютной  = погрешности результата измерения плотности:</t>
  </si>
  <si>
    <t>7. Окончательный результат</t>
  </si>
  <si>
    <r>
      <t>кг/м</t>
    </r>
    <r>
      <rPr>
        <vertAlign val="superscript"/>
        <sz val="11"/>
        <color theme="1"/>
        <rFont val="Aptos Narrow"/>
        <family val="2"/>
        <scheme val="minor"/>
      </rPr>
      <t>3</t>
    </r>
  </si>
  <si>
    <t>!Необходима проверка округления до первой значащей цифры</t>
  </si>
  <si>
    <t>ρ=</t>
  </si>
  <si>
    <t>M=</t>
  </si>
  <si>
    <t>кг/моль</t>
  </si>
  <si>
    <t>8. Выводы</t>
  </si>
  <si>
    <t>Проверка LLM</t>
  </si>
  <si>
    <t xml:space="preserve">Весы электронные цифровые ВК-300 </t>
  </si>
  <si>
    <t>Барометр ртутный чашечный</t>
  </si>
  <si>
    <t xml:space="preserve">810-1081 </t>
  </si>
  <si>
    <t>гПа</t>
  </si>
  <si>
    <t>гПа или гПа/дел</t>
  </si>
  <si>
    <t xml:space="preserve">гПа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</si>
</sst>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  <charset val="204"/>
    </font>
    <font>
      <sz val="8"/>
      <name val="Aptos Narrow"/>
      <family val="2"/>
      <charset val="204"/>
      <scheme val="minor"/>
    </font>
    <font>
      <vertAlign val="super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rgb="FFB2B2B2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23">
    <xf numFmtId="0" fontId="0" fillId="0" borderId="0" xfId="0"/>
    <xf numFmtId="0" fontId="0" fillId="2" borderId="1" xfId="1" applyFont="1"/>
    <xf numFmtId="0" fontId="3" fillId="0" borderId="0" xfId="0" applyFont="1"/>
    <xf numFmtId="0" fontId="3" fillId="0" borderId="2" xfId="0" applyFont="1" applyBorder="1" applyAlignment="1">
      <alignment wrapText="1"/>
    </xf>
    <xf numFmtId="0" fontId="0" fillId="3" borderId="1" xfId="1" applyFont="1" applyFill="1" applyAlignment="1">
      <alignment vertical="top"/>
    </xf>
    <xf numFmtId="0" fontId="0" fillId="3" borderId="1" xfId="1" applyFont="1" applyFill="1" applyAlignment="1">
      <alignment vertical="top" wrapText="1"/>
    </xf>
    <xf numFmtId="0" fontId="0" fillId="3" borderId="5" xfId="1" applyFont="1" applyFill="1" applyBorder="1" applyAlignment="1">
      <alignment vertical="top" wrapText="1"/>
    </xf>
    <xf numFmtId="3" fontId="0" fillId="3" borderId="1" xfId="1" applyNumberFormat="1" applyFont="1" applyFill="1" applyAlignment="1">
      <alignment vertical="top" wrapText="1"/>
    </xf>
    <xf numFmtId="0" fontId="0" fillId="3" borderId="6" xfId="1" applyFont="1" applyFill="1" applyBorder="1" applyAlignment="1">
      <alignment vertical="top"/>
    </xf>
    <xf numFmtId="0" fontId="0" fillId="3" borderId="5" xfId="1" applyFont="1" applyFill="1" applyBorder="1" applyAlignment="1">
      <alignment vertical="top"/>
    </xf>
    <xf numFmtId="0" fontId="0" fillId="3" borderId="6" xfId="1" applyFont="1" applyFill="1" applyBorder="1" applyAlignment="1">
      <alignment vertical="top" wrapText="1"/>
    </xf>
    <xf numFmtId="0" fontId="2" fillId="3" borderId="1" xfId="1" applyFont="1" applyFill="1" applyAlignment="1">
      <alignment vertical="top"/>
    </xf>
    <xf numFmtId="0" fontId="0" fillId="3" borderId="1" xfId="1" applyFont="1" applyFill="1"/>
    <xf numFmtId="0" fontId="0" fillId="3" borderId="8" xfId="1" applyFont="1" applyFill="1" applyBorder="1" applyAlignment="1">
      <alignment vertical="top" wrapText="1"/>
    </xf>
    <xf numFmtId="0" fontId="0" fillId="3" borderId="9" xfId="1" applyFont="1" applyFill="1" applyBorder="1" applyAlignment="1">
      <alignment vertical="top" wrapText="1"/>
    </xf>
    <xf numFmtId="0" fontId="2" fillId="3" borderId="7" xfId="1" applyFont="1" applyFill="1" applyBorder="1" applyAlignment="1">
      <alignment vertical="top" wrapText="1"/>
    </xf>
    <xf numFmtId="0" fontId="5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/>
    <xf numFmtId="0" fontId="3" fillId="0" borderId="4" xfId="0" applyFont="1" applyBorder="1" applyAlignment="1">
      <alignment wrapText="1"/>
    </xf>
  </cellXfs>
  <cellStyles count="2">
    <cellStyle name="Обычный" xfId="0" builtinId="0"/>
    <cellStyle name="Примечание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D020-6188-4BA0-A9A8-559FDD95F27D}">
  <dimension ref="A1:H61"/>
  <sheetViews>
    <sheetView tabSelected="1" workbookViewId="0">
      <selection activeCell="C62" sqref="C62"/>
    </sheetView>
  </sheetViews>
  <sheetFormatPr defaultRowHeight="15" x14ac:dyDescent="0.25"/>
  <cols>
    <col min="1" max="1" width="18.28515625" customWidth="1"/>
    <col min="3" max="3" width="11" customWidth="1"/>
    <col min="5" max="5" width="10.5703125" customWidth="1"/>
    <col min="7" max="7" width="9.28515625" customWidth="1"/>
  </cols>
  <sheetData>
    <row r="1" spans="1:5" x14ac:dyDescent="0.25">
      <c r="A1" s="2" t="s">
        <v>0</v>
      </c>
    </row>
    <row r="2" spans="1:5" x14ac:dyDescent="0.25">
      <c r="A2" s="1" t="s">
        <v>1</v>
      </c>
      <c r="B2" s="1"/>
      <c r="C2" s="1"/>
      <c r="D2" s="1"/>
      <c r="E2" s="1"/>
    </row>
    <row r="3" spans="1:5" x14ac:dyDescent="0.25">
      <c r="A3" s="1" t="s">
        <v>2</v>
      </c>
      <c r="B3" s="1"/>
      <c r="C3" s="1"/>
      <c r="D3" s="1"/>
      <c r="E3" s="1"/>
    </row>
    <row r="4" spans="1:5" x14ac:dyDescent="0.25">
      <c r="A4" s="1" t="s">
        <v>3</v>
      </c>
      <c r="B4" s="1"/>
      <c r="C4" s="1"/>
      <c r="D4" s="1"/>
      <c r="E4" s="1"/>
    </row>
    <row r="5" spans="1:5" x14ac:dyDescent="0.25">
      <c r="A5" s="1" t="s">
        <v>4</v>
      </c>
      <c r="B5" s="1"/>
    </row>
    <row r="6" spans="1:5" x14ac:dyDescent="0.25">
      <c r="A6" s="1" t="s">
        <v>5</v>
      </c>
      <c r="B6" s="1"/>
    </row>
    <row r="7" spans="1:5" x14ac:dyDescent="0.25">
      <c r="A7" s="1" t="s">
        <v>6</v>
      </c>
      <c r="B7" s="1"/>
    </row>
    <row r="9" spans="1:5" x14ac:dyDescent="0.25">
      <c r="A9" s="2" t="s">
        <v>7</v>
      </c>
    </row>
    <row r="10" spans="1:5" x14ac:dyDescent="0.25">
      <c r="A10" s="1" t="s">
        <v>8</v>
      </c>
    </row>
    <row r="11" spans="1:5" x14ac:dyDescent="0.25">
      <c r="A11" s="1" t="s">
        <v>9</v>
      </c>
    </row>
    <row r="12" spans="1:5" x14ac:dyDescent="0.25">
      <c r="A12" s="1" t="s">
        <v>10</v>
      </c>
    </row>
    <row r="13" spans="1:5" x14ac:dyDescent="0.25">
      <c r="A13" s="1" t="s">
        <v>11</v>
      </c>
    </row>
    <row r="15" spans="1:5" x14ac:dyDescent="0.25">
      <c r="A15" s="2" t="s">
        <v>18</v>
      </c>
    </row>
    <row r="17" spans="1:8" ht="45" x14ac:dyDescent="0.25">
      <c r="A17" s="3" t="s">
        <v>12</v>
      </c>
      <c r="B17" s="19" t="s">
        <v>13</v>
      </c>
      <c r="C17" s="20"/>
      <c r="D17" s="19" t="s">
        <v>14</v>
      </c>
      <c r="E17" s="21"/>
      <c r="F17" s="19" t="s">
        <v>15</v>
      </c>
      <c r="G17" s="22"/>
    </row>
    <row r="18" spans="1:8" ht="120" customHeight="1" x14ac:dyDescent="0.25">
      <c r="A18" s="6" t="s">
        <v>62</v>
      </c>
      <c r="B18" s="7">
        <v>300</v>
      </c>
      <c r="C18" s="4" t="s">
        <v>16</v>
      </c>
      <c r="D18" s="5">
        <v>0.01</v>
      </c>
      <c r="E18" s="4" t="s">
        <v>16</v>
      </c>
      <c r="F18" s="5">
        <v>0.01</v>
      </c>
      <c r="G18" s="8" t="s">
        <v>16</v>
      </c>
      <c r="H18" t="s">
        <v>21</v>
      </c>
    </row>
    <row r="19" spans="1:8" x14ac:dyDescent="0.25">
      <c r="A19" s="9" t="s">
        <v>19</v>
      </c>
      <c r="B19" s="4">
        <v>102</v>
      </c>
      <c r="C19" s="4" t="s">
        <v>28</v>
      </c>
      <c r="D19" s="4">
        <v>0.2</v>
      </c>
      <c r="E19" s="4" t="s">
        <v>28</v>
      </c>
      <c r="F19" s="4">
        <v>0.4</v>
      </c>
      <c r="G19" s="4" t="s">
        <v>28</v>
      </c>
      <c r="H19" t="s">
        <v>17</v>
      </c>
    </row>
    <row r="20" spans="1:8" ht="91.5" customHeight="1" x14ac:dyDescent="0.25">
      <c r="A20" s="6" t="s">
        <v>63</v>
      </c>
      <c r="B20" s="5" t="s">
        <v>64</v>
      </c>
      <c r="C20" s="5" t="s">
        <v>65</v>
      </c>
      <c r="D20" s="5">
        <v>0.1</v>
      </c>
      <c r="E20" s="5" t="s">
        <v>66</v>
      </c>
      <c r="F20" s="5">
        <v>0.05</v>
      </c>
      <c r="G20" s="10" t="s">
        <v>65</v>
      </c>
      <c r="H20" t="s">
        <v>20</v>
      </c>
    </row>
    <row r="21" spans="1:8" ht="51" customHeight="1" x14ac:dyDescent="0.25">
      <c r="A21" s="4" t="s">
        <v>22</v>
      </c>
      <c r="B21" s="5">
        <v>50</v>
      </c>
      <c r="C21" s="5" t="s">
        <v>23</v>
      </c>
      <c r="D21" s="5">
        <v>0.2</v>
      </c>
      <c r="E21" s="5" t="s">
        <v>23</v>
      </c>
      <c r="F21" s="5">
        <v>0.2</v>
      </c>
      <c r="G21" s="5" t="s">
        <v>23</v>
      </c>
    </row>
    <row r="22" spans="1:8" x14ac:dyDescent="0.25">
      <c r="A22" s="4" t="s">
        <v>25</v>
      </c>
      <c r="B22" s="11">
        <v>310</v>
      </c>
      <c r="C22" s="4" t="s">
        <v>24</v>
      </c>
      <c r="F22" s="4">
        <v>3</v>
      </c>
      <c r="G22" s="4" t="s">
        <v>24</v>
      </c>
    </row>
    <row r="24" spans="1:8" x14ac:dyDescent="0.25">
      <c r="A24" s="2" t="s">
        <v>26</v>
      </c>
    </row>
    <row r="26" spans="1:8" x14ac:dyDescent="0.25">
      <c r="A26" t="s">
        <v>30</v>
      </c>
      <c r="B26" t="s">
        <v>31</v>
      </c>
      <c r="C26" t="s">
        <v>27</v>
      </c>
      <c r="E26" t="s">
        <v>32</v>
      </c>
      <c r="F26" t="s">
        <v>29</v>
      </c>
    </row>
    <row r="27" spans="1:8" ht="78.75" customHeight="1" x14ac:dyDescent="0.25">
      <c r="A27" s="15">
        <v>100.28</v>
      </c>
      <c r="B27" s="15">
        <v>99.95</v>
      </c>
      <c r="C27" s="13">
        <v>971.2</v>
      </c>
      <c r="D27" s="13" t="s">
        <v>67</v>
      </c>
      <c r="E27" s="13">
        <v>95</v>
      </c>
      <c r="F27" s="14">
        <v>297.8</v>
      </c>
      <c r="G27" t="s">
        <v>38</v>
      </c>
    </row>
    <row r="28" spans="1:8" x14ac:dyDescent="0.25">
      <c r="A28" t="s">
        <v>33</v>
      </c>
      <c r="C28" s="12">
        <v>981.5</v>
      </c>
      <c r="D28" t="s">
        <v>34</v>
      </c>
    </row>
    <row r="30" spans="1:8" x14ac:dyDescent="0.25">
      <c r="A30" s="2" t="s">
        <v>37</v>
      </c>
    </row>
    <row r="32" spans="1:8" x14ac:dyDescent="0.25">
      <c r="A32" t="s">
        <v>36</v>
      </c>
      <c r="B32" s="12">
        <f>(A27-B27)*8.31*F27*10^(-3)/(E27*C28*B22*10^(-6))</f>
        <v>2.8252966467077121E-2</v>
      </c>
    </row>
    <row r="33" spans="1:5" x14ac:dyDescent="0.25">
      <c r="A33" t="s">
        <v>35</v>
      </c>
      <c r="B33" s="12">
        <f>C27*B32*100/(8.31*F27)</f>
        <v>1.1087841537025753</v>
      </c>
    </row>
    <row r="35" spans="1:5" x14ac:dyDescent="0.25">
      <c r="A35" s="2" t="s">
        <v>39</v>
      </c>
    </row>
    <row r="37" spans="1:5" x14ac:dyDescent="0.25">
      <c r="A37" s="16" t="s">
        <v>40</v>
      </c>
      <c r="B37" s="1">
        <f>1.1*SQRT((D18/2)^2+(F18)^2)</f>
        <v>1.2298373876248844E-2</v>
      </c>
    </row>
    <row r="38" spans="1:5" x14ac:dyDescent="0.25">
      <c r="A38" s="16" t="s">
        <v>41</v>
      </c>
      <c r="B38" s="1">
        <f>B37</f>
        <v>1.2298373876248844E-2</v>
      </c>
    </row>
    <row r="39" spans="1:5" x14ac:dyDescent="0.25">
      <c r="A39" s="16" t="s">
        <v>42</v>
      </c>
      <c r="B39" s="1">
        <f>1.1*SQRT((D19/2)^2+(F19)^2)</f>
        <v>0.45354161881794275</v>
      </c>
    </row>
    <row r="40" spans="1:5" x14ac:dyDescent="0.25">
      <c r="A40" s="16" t="s">
        <v>43</v>
      </c>
      <c r="B40" s="1">
        <f>1.1*SQRT((D21/2)^2+(F21)^2)</f>
        <v>0.24596747752497691</v>
      </c>
    </row>
    <row r="41" spans="1:5" x14ac:dyDescent="0.25">
      <c r="A41" s="16" t="s">
        <v>44</v>
      </c>
      <c r="B41" s="1">
        <f>1.1*SQRT((D20/2)^2+(F20)^2)</f>
        <v>7.7781745930520244E-2</v>
      </c>
      <c r="E41" s="12" t="s">
        <v>45</v>
      </c>
    </row>
    <row r="43" spans="1:5" x14ac:dyDescent="0.25">
      <c r="A43" s="2" t="s">
        <v>46</v>
      </c>
    </row>
    <row r="45" spans="1:5" x14ac:dyDescent="0.25">
      <c r="A45" s="16" t="s">
        <v>47</v>
      </c>
      <c r="B45" s="1">
        <f>SQRT(2*(B37/(A27-B27))^2+(B39/E27)^2+(F22/B22)^2+(B40/F27)^2)</f>
        <v>5.3804318208839748E-2</v>
      </c>
    </row>
    <row r="47" spans="1:5" x14ac:dyDescent="0.25">
      <c r="A47" s="2" t="s">
        <v>48</v>
      </c>
    </row>
    <row r="48" spans="1:5" x14ac:dyDescent="0.25">
      <c r="A48" s="16" t="s">
        <v>49</v>
      </c>
      <c r="B48" s="1">
        <f>B32*B45</f>
        <v>1.5201315981382964E-3</v>
      </c>
    </row>
    <row r="50" spans="1:6" x14ac:dyDescent="0.25">
      <c r="A50" s="2" t="s">
        <v>50</v>
      </c>
    </row>
    <row r="52" spans="1:6" x14ac:dyDescent="0.25">
      <c r="A52" s="16" t="s">
        <v>51</v>
      </c>
      <c r="B52" s="1">
        <f>SQRT((B41/C27)^2+(B48/B32)^2+(B40/F27)^2)</f>
        <v>5.3810716990722401E-2</v>
      </c>
    </row>
    <row r="54" spans="1:6" x14ac:dyDescent="0.25">
      <c r="A54" s="2" t="s">
        <v>53</v>
      </c>
    </row>
    <row r="55" spans="1:6" x14ac:dyDescent="0.25">
      <c r="A55" s="16" t="s">
        <v>52</v>
      </c>
      <c r="B55" s="1">
        <f>B33*B52</f>
        <v>5.9664470298686927E-2</v>
      </c>
    </row>
    <row r="57" spans="1:6" x14ac:dyDescent="0.25">
      <c r="A57" s="2" t="s">
        <v>54</v>
      </c>
    </row>
    <row r="58" spans="1:6" x14ac:dyDescent="0.25">
      <c r="A58" s="17" t="s">
        <v>58</v>
      </c>
      <c r="B58" s="1">
        <v>2.8000000000000001E-2</v>
      </c>
      <c r="C58" s="18" t="str">
        <f>"+/-"</f>
        <v>+/-</v>
      </c>
      <c r="D58" s="1">
        <v>2E-3</v>
      </c>
      <c r="E58" t="s">
        <v>59</v>
      </c>
      <c r="F58" t="s">
        <v>56</v>
      </c>
    </row>
    <row r="59" spans="1:6" ht="16.5" x14ac:dyDescent="0.25">
      <c r="A59" s="17" t="s">
        <v>57</v>
      </c>
      <c r="B59" s="1">
        <v>1.1100000000000001</v>
      </c>
      <c r="C59" s="18" t="str">
        <f>"+/-"</f>
        <v>+/-</v>
      </c>
      <c r="D59" s="1">
        <v>0.06</v>
      </c>
      <c r="E59" t="s">
        <v>55</v>
      </c>
      <c r="F59" t="s">
        <v>56</v>
      </c>
    </row>
    <row r="61" spans="1:6" x14ac:dyDescent="0.25">
      <c r="A61" s="2" t="s">
        <v>60</v>
      </c>
      <c r="B61" s="1"/>
      <c r="E61" t="s">
        <v>61</v>
      </c>
    </row>
  </sheetData>
  <mergeCells count="3">
    <mergeCell ref="B17:C17"/>
    <mergeCell ref="D17:E17"/>
    <mergeCell ref="F17:G17"/>
  </mergeCells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691F8B07393A4B91CF409C6DCE171C" ma:contentTypeVersion="0" ma:contentTypeDescription="Create a new document." ma:contentTypeScope="" ma:versionID="2a3df9a59be2ceb873080498e382505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DF5D55-CBEC-470B-A256-0906240CB9DB}"/>
</file>

<file path=customXml/itemProps2.xml><?xml version="1.0" encoding="utf-8"?>
<ds:datastoreItem xmlns:ds="http://schemas.openxmlformats.org/officeDocument/2006/customXml" ds:itemID="{F89FDBBE-2EA3-4451-BC18-00601887958C}"/>
</file>

<file path=customXml/itemProps3.xml><?xml version="1.0" encoding="utf-8"?>
<ds:datastoreItem xmlns:ds="http://schemas.openxmlformats.org/officeDocument/2006/customXml" ds:itemID="{544D61B2-07F0-4416-AD54-4CD8A61F4E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Филанович Антон Николаевич</dc:creator>
  <cp:lastModifiedBy>Филанович Антон Николаевич</cp:lastModifiedBy>
  <dcterms:created xsi:type="dcterms:W3CDTF">2026-07-24T05:25:04Z</dcterms:created>
  <dcterms:modified xsi:type="dcterms:W3CDTF">2026-09-18T11:52:47Z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0x010100E8691F8B07393A4B91CF409C6DCE171C</vt:lpwstr>
  </property>
</Properties>
</file>