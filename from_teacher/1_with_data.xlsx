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Антон\Yandex.Disk\ПРАКТИКУМ\!Автопроверка отчетов\"/>
    </mc:Choice>
  </mc:AlternateContent>
  <xr:revisionPtr revIDLastSave="0" documentId="13_ncr:1_{F3A4AB0F-7B09-4A70-9505-80F47BFFC3B3}" xr6:coauthVersionLast="47" xr6:coauthVersionMax="47" xr10:uidLastSave="{00000000-0000-0000-0000-000000000000}"/>
  <bookViews>
    <workbookView xWindow="-120" yWindow="-120" windowWidth="29040" windowHeight="15720" xr2:uid="{D9B4D971-53A5-42D8-8F25-0911A411FCC9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1" l="1"/>
  <c r="B61" i="1"/>
  <c r="B58" i="1"/>
  <c r="F10" i="1"/>
  <c r="B50" i="1" s="1"/>
  <c r="B40" i="1"/>
  <c r="B41" i="1"/>
  <c r="B42" i="1"/>
  <c r="B43" i="1"/>
  <c r="B39" i="1"/>
  <c r="C34" i="1"/>
  <c r="H15" i="1"/>
  <c r="C66" i="1"/>
  <c r="B44" i="1"/>
  <c r="C54" i="1" s="1"/>
  <c r="B30" i="1"/>
  <c r="B24" i="1"/>
  <c r="B22" i="1" s="1"/>
  <c r="D22" i="1" s="1"/>
  <c r="B21" i="1" l="1"/>
  <c r="D21" i="1" s="1"/>
  <c r="B20" i="1"/>
  <c r="D20" i="1" s="1"/>
  <c r="D40" i="1"/>
  <c r="D39" i="1"/>
  <c r="D41" i="1"/>
  <c r="D42" i="1"/>
  <c r="D43" i="1"/>
  <c r="B19" i="1"/>
  <c r="D19" i="1" s="1"/>
  <c r="B23" i="1"/>
  <c r="D23" i="1" s="1"/>
  <c r="D44" i="1" l="1"/>
  <c r="B46" i="1" s="1"/>
  <c r="B48" i="1" s="1"/>
  <c r="B52" i="1" s="1"/>
  <c r="C55" i="1" s="1"/>
  <c r="D24" i="1"/>
  <c r="B26" i="1" s="1"/>
  <c r="B28" i="1" s="1"/>
  <c r="B32" i="1" s="1"/>
  <c r="C35" i="1" s="1"/>
</calcChain>
</file>

<file path=xl/sharedStrings.xml><?xml version="1.0" encoding="utf-8"?>
<sst xmlns="http://schemas.openxmlformats.org/spreadsheetml/2006/main" count="73" uniqueCount="60">
  <si>
    <t>1. Расчетная формула</t>
  </si>
  <si>
    <t>плотность/плотность образца/плотность материала</t>
  </si>
  <si>
    <t>масса/масса образца</t>
  </si>
  <si>
    <t>диаметр/диаметр образца</t>
  </si>
  <si>
    <t>высота/высота образца</t>
  </si>
  <si>
    <t>2. Средства измерений и их характеристики</t>
  </si>
  <si>
    <t>наименование средства измерения</t>
  </si>
  <si>
    <t>предел измерений или номинальное значение</t>
  </si>
  <si>
    <t>цена деления шкалы</t>
  </si>
  <si>
    <t>предел основной погрешности</t>
  </si>
  <si>
    <t xml:space="preserve">Весы электронные цифровые ВК-300 </t>
  </si>
  <si>
    <t xml:space="preserve">300
</t>
  </si>
  <si>
    <t>г.</t>
  </si>
  <si>
    <t>Наличие точки после единиц измерения необязательно. 
Порядок следования приборов в таблице (например, весы/микрометр/штангенциркуль или весы/штаненциркуль/микрометр) не должен иметь значения.</t>
  </si>
  <si>
    <t>Микрометр</t>
  </si>
  <si>
    <t>мм.</t>
  </si>
  <si>
    <t>Необходимы отдельные поля для значений и единиц измерения</t>
  </si>
  <si>
    <t>Штангенциркуль</t>
  </si>
  <si>
    <t>Образец №</t>
  </si>
  <si>
    <t>3. Результаты измерений</t>
  </si>
  <si>
    <t>3.1. Измерение массы образца</t>
  </si>
  <si>
    <t>m=</t>
  </si>
  <si>
    <t>Δm=</t>
  </si>
  <si>
    <t>3.2. Измерение диаметра</t>
  </si>
  <si>
    <t>d_i</t>
  </si>
  <si>
    <t>d_i-&lt;d&gt;</t>
  </si>
  <si>
    <t>(d_i-&lt;d&gt;)^2</t>
  </si>
  <si>
    <t>Значения d_i-&lt;d&gt;не должны превышать 0,01 от &lt;d&gt;</t>
  </si>
  <si>
    <t>&lt;d&gt;=</t>
  </si>
  <si>
    <t>S{(d_i-&lt;d&gt;)^2)=</t>
  </si>
  <si>
    <t>&lt;d&gt; должно соответствовать значению из приложения для номера образца в B11</t>
  </si>
  <si>
    <t>S{(d_i-&lt;d&gt;)^2) не должна быть равной нулю</t>
  </si>
  <si>
    <t>Среднее квадратичное отклонение</t>
  </si>
  <si>
    <t>Граница случайной погрешности</t>
  </si>
  <si>
    <t>Граница неисключенной систематической погрешности</t>
  </si>
  <si>
    <t>Граница полной погрешности…</t>
  </si>
  <si>
    <t>Результат измерения диаметра</t>
  </si>
  <si>
    <t>Δd=</t>
  </si>
  <si>
    <t>3.3. Измерение высоты образца</t>
  </si>
  <si>
    <t>h_i</t>
  </si>
  <si>
    <t>h_i-&lt;h&gt;</t>
  </si>
  <si>
    <t>(h_i-&lt;h&gt;)^2</t>
  </si>
  <si>
    <t>Значения h_i-&lt;d&gt;не должны превышать 0,05 от &lt;h&gt;</t>
  </si>
  <si>
    <t>&lt;h&gt;=</t>
  </si>
  <si>
    <t>S{(h_i-&lt;h&gt;)^2)=</t>
  </si>
  <si>
    <t>&lt;h&gt; должно соответствовать значению из приложения для номера образца в B11</t>
  </si>
  <si>
    <t>Результат измерения высоты</t>
  </si>
  <si>
    <t>Δh=</t>
  </si>
  <si>
    <t>4. Расчет искомой величины в СИ</t>
  </si>
  <si>
    <r>
      <t>ρ</t>
    </r>
    <r>
      <rPr>
        <sz val="11"/>
        <color theme="1"/>
        <rFont val="Aptos Narrow"/>
        <family val="2"/>
        <charset val="204"/>
      </rPr>
      <t>=</t>
    </r>
  </si>
  <si>
    <t>5. Оценка границы относительной….</t>
  </si>
  <si>
    <r>
      <rPr>
        <sz val="11"/>
        <color theme="1"/>
        <rFont val="Aptos Narrow"/>
        <family val="2"/>
      </rPr>
      <t>ϒ</t>
    </r>
    <r>
      <rPr>
        <sz val="11"/>
        <color theme="1"/>
        <rFont val="Aptos Narrow"/>
        <family val="2"/>
        <charset val="204"/>
      </rPr>
      <t>=</t>
    </r>
  </si>
  <si>
    <t>6. Оценка границы абсолютной погрешности…</t>
  </si>
  <si>
    <t>Δρ=</t>
  </si>
  <si>
    <t>7. Окончательный результат</t>
  </si>
  <si>
    <t>ρ=</t>
  </si>
  <si>
    <r>
      <t>кг/м</t>
    </r>
    <r>
      <rPr>
        <vertAlign val="superscript"/>
        <sz val="11"/>
        <color theme="1"/>
        <rFont val="Aptos Narrow"/>
        <family val="2"/>
        <scheme val="minor"/>
      </rPr>
      <t>3</t>
    </r>
  </si>
  <si>
    <t>!Необходима проверка округления до первой значащей цифры</t>
  </si>
  <si>
    <t>8. Выводы</t>
  </si>
  <si>
    <t>Проверка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</si>
</sst>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3" fillId="2" borderId="5" applyNumberFormat="0" applyFont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5" xfId="1" applyFont="1"/>
    <xf numFmtId="0" fontId="0" fillId="3" borderId="5" xfId="1" applyFont="1" applyFill="1" applyAlignment="1">
      <alignment wrapText="1"/>
    </xf>
    <xf numFmtId="0" fontId="0" fillId="3" borderId="5" xfId="1" applyFont="1" applyFill="1"/>
    <xf numFmtId="3" fontId="0" fillId="3" borderId="5" xfId="1" applyNumberFormat="1" applyFont="1" applyFill="1" applyAlignment="1">
      <alignment vertical="top" wrapText="1"/>
    </xf>
    <xf numFmtId="0" fontId="0" fillId="3" borderId="5" xfId="1" applyFont="1" applyFill="1" applyAlignment="1">
      <alignment vertical="top"/>
    </xf>
    <xf numFmtId="0" fontId="0" fillId="3" borderId="5" xfId="1" applyFont="1" applyFill="1" applyAlignment="1">
      <alignment vertical="top" wrapText="1"/>
    </xf>
    <xf numFmtId="0" fontId="7" fillId="0" borderId="0" xfId="0" applyFont="1"/>
    <xf numFmtId="2" fontId="0" fillId="2" borderId="5" xfId="1" applyNumberFormat="1" applyFont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2" xfId="0" applyBorder="1" applyAlignment="1"/>
    <xf numFmtId="0" fontId="0" fillId="0" borderId="0" xfId="0" applyAlignment="1"/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AA89-A51D-4E6F-9EC6-F998354B8B3A}">
  <dimension ref="A1:M67"/>
  <sheetViews>
    <sheetView tabSelected="1" workbookViewId="0">
      <selection activeCell="N8" sqref="N8"/>
    </sheetView>
  </sheetViews>
  <sheetFormatPr defaultRowHeight="15"/>
  <cols>
    <col min="1" max="1" width="19.42578125" customWidth="1"/>
    <col min="2" max="2" width="9.42578125" customWidth="1"/>
    <col min="3" max="3" width="5.28515625" customWidth="1"/>
    <col min="4" max="4" width="9.140625" customWidth="1"/>
    <col min="5" max="5" width="4.28515625" customWidth="1"/>
    <col min="6" max="6" width="15" customWidth="1"/>
    <col min="7" max="7" width="5.5703125" customWidth="1"/>
  </cols>
  <sheetData>
    <row r="1" spans="1:13">
      <c r="A1" s="3" t="s">
        <v>0</v>
      </c>
    </row>
    <row r="2" spans="1:13">
      <c r="A2" s="11" t="s">
        <v>1</v>
      </c>
      <c r="B2" s="11" t="s">
        <v>2</v>
      </c>
      <c r="C2" s="11"/>
      <c r="D2" s="11"/>
    </row>
    <row r="3" spans="1:13">
      <c r="A3" s="11" t="s">
        <v>3</v>
      </c>
      <c r="B3" s="11" t="s">
        <v>4</v>
      </c>
      <c r="C3" s="11"/>
      <c r="D3" s="11"/>
    </row>
    <row r="5" spans="1:13">
      <c r="A5" s="3" t="s">
        <v>5</v>
      </c>
    </row>
    <row r="7" spans="1:13" ht="75" customHeight="1">
      <c r="A7" s="4" t="s">
        <v>6</v>
      </c>
      <c r="B7" s="19" t="s">
        <v>7</v>
      </c>
      <c r="C7" s="20"/>
      <c r="D7" s="19" t="s">
        <v>8</v>
      </c>
      <c r="E7" s="23"/>
      <c r="F7" s="19" t="s">
        <v>9</v>
      </c>
      <c r="G7" s="21"/>
    </row>
    <row r="8" spans="1:13" ht="120" customHeight="1">
      <c r="A8" s="12" t="s">
        <v>10</v>
      </c>
      <c r="B8" s="14" t="s">
        <v>11</v>
      </c>
      <c r="C8" s="15" t="s">
        <v>12</v>
      </c>
      <c r="D8" s="16">
        <v>0.01</v>
      </c>
      <c r="E8" s="15" t="s">
        <v>12</v>
      </c>
      <c r="F8" s="16">
        <v>5.0000000000000001E-3</v>
      </c>
      <c r="G8" s="15" t="s">
        <v>12</v>
      </c>
      <c r="H8" s="22" t="s">
        <v>13</v>
      </c>
      <c r="I8" s="24"/>
      <c r="J8" s="24"/>
      <c r="K8" s="24"/>
      <c r="L8" s="24"/>
      <c r="M8" s="24"/>
    </row>
    <row r="9" spans="1:13">
      <c r="A9" s="13" t="s">
        <v>14</v>
      </c>
      <c r="B9" s="13">
        <v>25</v>
      </c>
      <c r="C9" s="13" t="s">
        <v>15</v>
      </c>
      <c r="D9" s="13">
        <v>0.01</v>
      </c>
      <c r="E9" s="13" t="s">
        <v>15</v>
      </c>
      <c r="F9" s="13">
        <v>4.0000000000000001E-3</v>
      </c>
      <c r="G9" s="13" t="s">
        <v>15</v>
      </c>
      <c r="H9" t="s">
        <v>16</v>
      </c>
    </row>
    <row r="10" spans="1:13">
      <c r="A10" s="13" t="s">
        <v>17</v>
      </c>
      <c r="B10" s="13">
        <v>250</v>
      </c>
      <c r="C10" s="13" t="s">
        <v>15</v>
      </c>
      <c r="D10" s="13">
        <v>0.05</v>
      </c>
      <c r="E10" s="13" t="s">
        <v>15</v>
      </c>
      <c r="F10" s="13">
        <f>D10</f>
        <v>0.05</v>
      </c>
      <c r="G10" s="13" t="s">
        <v>15</v>
      </c>
    </row>
    <row r="11" spans="1:13">
      <c r="A11" s="3" t="s">
        <v>18</v>
      </c>
      <c r="B11" s="13">
        <v>27</v>
      </c>
    </row>
    <row r="13" spans="1:13">
      <c r="A13" s="3" t="s">
        <v>19</v>
      </c>
      <c r="B13" s="3"/>
    </row>
    <row r="14" spans="1:13">
      <c r="A14" s="3" t="s">
        <v>20</v>
      </c>
      <c r="B14" s="3"/>
    </row>
    <row r="15" spans="1:13">
      <c r="A15" s="3" t="s">
        <v>21</v>
      </c>
      <c r="B15" s="13">
        <v>47.27</v>
      </c>
      <c r="G15" s="8" t="s">
        <v>22</v>
      </c>
      <c r="H15" s="11">
        <f>1.1*SQRT(F8^2+D8^2/4)</f>
        <v>7.7781745930520238E-3</v>
      </c>
    </row>
    <row r="17" spans="1:6">
      <c r="A17" s="3" t="s">
        <v>23</v>
      </c>
    </row>
    <row r="18" spans="1:6">
      <c r="A18" s="6" t="s">
        <v>24</v>
      </c>
      <c r="B18" s="7" t="s">
        <v>25</v>
      </c>
      <c r="C18" s="5"/>
      <c r="D18" s="7" t="s">
        <v>26</v>
      </c>
      <c r="E18" s="5"/>
    </row>
    <row r="19" spans="1:6">
      <c r="A19" s="13">
        <v>15.94</v>
      </c>
      <c r="B19" s="11">
        <f>A19-B$24</f>
        <v>1.4000000000001123E-2</v>
      </c>
      <c r="C19" s="11"/>
      <c r="D19" s="11">
        <f>B19^2</f>
        <v>1.9600000000003144E-4</v>
      </c>
      <c r="E19" s="11"/>
    </row>
    <row r="20" spans="1:6">
      <c r="A20" s="13">
        <v>15.93</v>
      </c>
      <c r="B20" s="11">
        <f t="shared" ref="B20:B23" si="0">A20-B$24</f>
        <v>4.0000000000013358E-3</v>
      </c>
      <c r="C20" s="11"/>
      <c r="D20" s="11">
        <f t="shared" ref="D20:D23" si="1">B20^2</f>
        <v>1.6000000000010685E-5</v>
      </c>
      <c r="E20" s="11"/>
    </row>
    <row r="21" spans="1:6">
      <c r="A21" s="13">
        <v>15.92</v>
      </c>
      <c r="B21" s="11">
        <f t="shared" si="0"/>
        <v>-5.999999999998451E-3</v>
      </c>
      <c r="C21" s="11"/>
      <c r="D21" s="11">
        <f t="shared" si="1"/>
        <v>3.5999999999981414E-5</v>
      </c>
      <c r="E21" s="11"/>
    </row>
    <row r="22" spans="1:6">
      <c r="A22" s="13">
        <v>15.93</v>
      </c>
      <c r="B22" s="11">
        <f t="shared" si="0"/>
        <v>4.0000000000013358E-3</v>
      </c>
      <c r="C22" s="11"/>
      <c r="D22" s="11">
        <f t="shared" si="1"/>
        <v>1.6000000000010685E-5</v>
      </c>
      <c r="E22" s="11"/>
    </row>
    <row r="23" spans="1:6">
      <c r="A23" s="13">
        <v>15.91</v>
      </c>
      <c r="B23" s="11">
        <f t="shared" si="0"/>
        <v>-1.5999999999998238E-2</v>
      </c>
      <c r="C23" s="11"/>
      <c r="D23" s="11">
        <f t="shared" si="1"/>
        <v>2.5599999999994361E-4</v>
      </c>
      <c r="E23" s="11"/>
      <c r="F23" t="s">
        <v>27</v>
      </c>
    </row>
    <row r="24" spans="1:6">
      <c r="A24" s="3" t="s">
        <v>28</v>
      </c>
      <c r="B24" s="13">
        <f>AVERAGE(A19:A23)</f>
        <v>15.925999999999998</v>
      </c>
      <c r="C24" s="3" t="s">
        <v>29</v>
      </c>
      <c r="D24" s="11">
        <f>SUM(D19:D23)</f>
        <v>5.1999999999997784E-4</v>
      </c>
      <c r="F24" t="s">
        <v>30</v>
      </c>
    </row>
    <row r="25" spans="1:6">
      <c r="F25" t="s">
        <v>31</v>
      </c>
    </row>
    <row r="26" spans="1:6" ht="45">
      <c r="A26" s="2" t="s">
        <v>32</v>
      </c>
      <c r="B26" s="11">
        <f>SQRT(D24/20)</f>
        <v>5.099019513592676E-3</v>
      </c>
    </row>
    <row r="27" spans="1:6">
      <c r="A27" s="1"/>
    </row>
    <row r="28" spans="1:6" ht="30">
      <c r="A28" s="2" t="s">
        <v>33</v>
      </c>
      <c r="B28" s="11">
        <f>2.77*B26</f>
        <v>1.4124284052651712E-2</v>
      </c>
    </row>
    <row r="29" spans="1:6">
      <c r="A29" s="1"/>
    </row>
    <row r="30" spans="1:6" ht="60">
      <c r="A30" s="2" t="s">
        <v>34</v>
      </c>
      <c r="B30" s="11">
        <f>F9</f>
        <v>4.0000000000000001E-3</v>
      </c>
    </row>
    <row r="31" spans="1:6">
      <c r="A31" s="1"/>
    </row>
    <row r="32" spans="1:6" ht="30">
      <c r="A32" s="2" t="s">
        <v>35</v>
      </c>
      <c r="B32" s="11">
        <f>SQRT(B28^2+B30^2)</f>
        <v>1.4679761578445048E-2</v>
      </c>
    </row>
    <row r="33" spans="1:6">
      <c r="A33" s="1"/>
    </row>
    <row r="34" spans="1:6" ht="45">
      <c r="A34" s="2" t="s">
        <v>36</v>
      </c>
      <c r="B34" s="3" t="s">
        <v>28</v>
      </c>
      <c r="C34" s="18">
        <f>B24</f>
        <v>15.925999999999998</v>
      </c>
    </row>
    <row r="35" spans="1:6">
      <c r="A35" s="1"/>
      <c r="B35" s="8" t="s">
        <v>37</v>
      </c>
      <c r="C35" s="11">
        <f>B32</f>
        <v>1.4679761578445048E-2</v>
      </c>
    </row>
    <row r="36" spans="1:6">
      <c r="A36" s="1"/>
    </row>
    <row r="37" spans="1:6" ht="30">
      <c r="A37" s="2" t="s">
        <v>38</v>
      </c>
    </row>
    <row r="38" spans="1:6">
      <c r="A38" s="6" t="s">
        <v>39</v>
      </c>
      <c r="B38" s="7" t="s">
        <v>40</v>
      </c>
      <c r="C38" s="5"/>
      <c r="D38" s="7" t="s">
        <v>41</v>
      </c>
      <c r="E38" s="5"/>
    </row>
    <row r="39" spans="1:6">
      <c r="A39" s="13">
        <v>30</v>
      </c>
      <c r="B39" s="11">
        <f>A39-B$44</f>
        <v>-6.0000000000002274E-2</v>
      </c>
      <c r="C39" s="11"/>
      <c r="D39" s="11">
        <f>B39^2</f>
        <v>3.6000000000002727E-3</v>
      </c>
      <c r="E39" s="11"/>
    </row>
    <row r="40" spans="1:6">
      <c r="A40" s="13">
        <v>30.05</v>
      </c>
      <c r="B40" s="11">
        <f t="shared" ref="B40:B43" si="2">A40-B$44</f>
        <v>-1.0000000000001563E-2</v>
      </c>
      <c r="C40" s="11"/>
      <c r="D40" s="11">
        <f t="shared" ref="D40:D43" si="3">B40^2</f>
        <v>1.0000000000003127E-4</v>
      </c>
      <c r="E40" s="11"/>
    </row>
    <row r="41" spans="1:6">
      <c r="A41" s="13">
        <v>30.1</v>
      </c>
      <c r="B41" s="11">
        <f t="shared" si="2"/>
        <v>3.9999999999999147E-2</v>
      </c>
      <c r="C41" s="11"/>
      <c r="D41" s="11">
        <f t="shared" si="3"/>
        <v>1.5999999999999318E-3</v>
      </c>
      <c r="E41" s="11"/>
    </row>
    <row r="42" spans="1:6">
      <c r="A42" s="13">
        <v>30.1</v>
      </c>
      <c r="B42" s="11">
        <f t="shared" si="2"/>
        <v>3.9999999999999147E-2</v>
      </c>
      <c r="C42" s="11"/>
      <c r="D42" s="11">
        <f t="shared" si="3"/>
        <v>1.5999999999999318E-3</v>
      </c>
      <c r="E42" s="11"/>
    </row>
    <row r="43" spans="1:6">
      <c r="A43" s="13">
        <v>30.05</v>
      </c>
      <c r="B43" s="11">
        <f t="shared" si="2"/>
        <v>-1.0000000000001563E-2</v>
      </c>
      <c r="C43" s="11"/>
      <c r="D43" s="11">
        <f t="shared" si="3"/>
        <v>1.0000000000003127E-4</v>
      </c>
      <c r="E43" s="11"/>
      <c r="F43" t="s">
        <v>42</v>
      </c>
    </row>
    <row r="44" spans="1:6">
      <c r="A44" s="3" t="s">
        <v>43</v>
      </c>
      <c r="B44" s="13">
        <f>AVERAGE(A39:A43)</f>
        <v>30.060000000000002</v>
      </c>
      <c r="C44" s="3" t="s">
        <v>44</v>
      </c>
      <c r="D44" s="11">
        <f>SUM(D39:D43)</f>
        <v>7.0000000000001979E-3</v>
      </c>
      <c r="F44" t="s">
        <v>45</v>
      </c>
    </row>
    <row r="46" spans="1:6" ht="45">
      <c r="A46" s="2" t="s">
        <v>32</v>
      </c>
      <c r="B46" s="11">
        <f>SQRT(D44/20)</f>
        <v>1.8708286933869972E-2</v>
      </c>
    </row>
    <row r="47" spans="1:6">
      <c r="A47" s="1"/>
    </row>
    <row r="48" spans="1:6" ht="30">
      <c r="A48" s="2" t="s">
        <v>33</v>
      </c>
      <c r="B48" s="11">
        <f>2.77*B46</f>
        <v>5.1821954806819823E-2</v>
      </c>
    </row>
    <row r="49" spans="1:3">
      <c r="A49" s="1"/>
    </row>
    <row r="50" spans="1:3" ht="60">
      <c r="A50" s="2" t="s">
        <v>34</v>
      </c>
      <c r="B50" s="11">
        <f>F10</f>
        <v>0.05</v>
      </c>
    </row>
    <row r="51" spans="1:3">
      <c r="A51" s="1"/>
    </row>
    <row r="52" spans="1:3" ht="30">
      <c r="A52" s="2" t="s">
        <v>35</v>
      </c>
      <c r="B52" s="11">
        <f>SQRT(B48^2+B50^2)</f>
        <v>7.2010520064779954E-2</v>
      </c>
    </row>
    <row r="53" spans="1:3">
      <c r="A53" s="1"/>
    </row>
    <row r="54" spans="1:3" ht="30">
      <c r="A54" s="2" t="s">
        <v>46</v>
      </c>
      <c r="B54" s="3" t="s">
        <v>43</v>
      </c>
      <c r="C54" s="11">
        <f>B44</f>
        <v>30.060000000000002</v>
      </c>
    </row>
    <row r="55" spans="1:3">
      <c r="A55" s="1"/>
      <c r="B55" s="8" t="s">
        <v>47</v>
      </c>
      <c r="C55" s="11">
        <f>B52</f>
        <v>7.2010520064779954E-2</v>
      </c>
    </row>
    <row r="57" spans="1:3">
      <c r="A57" s="3" t="s">
        <v>48</v>
      </c>
    </row>
    <row r="58" spans="1:3">
      <c r="A58" s="9" t="s">
        <v>49</v>
      </c>
      <c r="B58" s="13">
        <f>4*B11*10^6/(3.1416*B24^2*B44)</f>
        <v>4508.8985954906475</v>
      </c>
    </row>
    <row r="60" spans="1:3">
      <c r="A60" s="3" t="s">
        <v>50</v>
      </c>
    </row>
    <row r="61" spans="1:3">
      <c r="A61" s="9" t="s">
        <v>51</v>
      </c>
      <c r="B61" s="11">
        <f>SQRT((H15/B15)^2+(2*C35/C34)^2+(B52/B44)^2)</f>
        <v>3.0272529452020371E-3</v>
      </c>
    </row>
    <row r="63" spans="1:3">
      <c r="A63" s="3" t="s">
        <v>52</v>
      </c>
    </row>
    <row r="64" spans="1:3">
      <c r="A64" s="10" t="s">
        <v>53</v>
      </c>
      <c r="B64" s="11">
        <f>B61*B58</f>
        <v>13.649576552816391</v>
      </c>
    </row>
    <row r="65" spans="1:6">
      <c r="A65" s="3" t="s">
        <v>54</v>
      </c>
    </row>
    <row r="66" spans="1:6" ht="16.5">
      <c r="A66" s="10" t="s">
        <v>55</v>
      </c>
      <c r="B66" s="11">
        <v>4510</v>
      </c>
      <c r="C66" t="str">
        <f>"+/-"</f>
        <v>+/-</v>
      </c>
      <c r="D66" s="11">
        <v>10</v>
      </c>
      <c r="E66" t="s">
        <v>56</v>
      </c>
      <c r="F66" s="17" t="s">
        <v>57</v>
      </c>
    </row>
    <row r="67" spans="1:6">
      <c r="A67" s="3" t="s">
        <v>58</v>
      </c>
      <c r="B67" s="11"/>
      <c r="E67" t="s">
        <v>59</v>
      </c>
    </row>
  </sheetData>
  <mergeCells count="4">
    <mergeCell ref="B7:C7"/>
    <mergeCell ref="D7:E7"/>
    <mergeCell ref="F7:G7"/>
    <mergeCell ref="H8:M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91F8B07393A4B91CF409C6DCE171C" ma:contentTypeVersion="3" ma:contentTypeDescription="Create a new document." ma:contentTypeScope="" ma:versionID="bd4208e1f1347067f97939f89763d345">
  <xsd:schema xmlns:xsd="http://www.w3.org/2001/XMLSchema" xmlns:xs="http://www.w3.org/2001/XMLSchema" xmlns:p="http://schemas.microsoft.com/office/2006/metadata/properties" xmlns:ns2="2d761509-ee1c-437c-b767-5eaa7315a99f" targetNamespace="http://schemas.microsoft.com/office/2006/metadata/properties" ma:root="true" ma:fieldsID="e78cf8bb7a7ab0cc47208f4228a11039" ns2:_="">
    <xsd:import namespace="2d761509-ee1c-437c-b767-5eaa7315a9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61509-ee1c-437c-b767-5eaa7315a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1E5FB-F2DE-461E-9C77-2D35D33AA9BE}"/>
</file>

<file path=customXml/itemProps2.xml><?xml version="1.0" encoding="utf-8"?>
<ds:datastoreItem xmlns:ds="http://schemas.openxmlformats.org/officeDocument/2006/customXml" ds:itemID="{A954D369-7000-4C75-8DB7-ED9C76D45D8D}"/>
</file>

<file path=customXml/itemProps3.xml><?xml version="1.0" encoding="utf-8"?>
<ds:datastoreItem xmlns:ds="http://schemas.openxmlformats.org/officeDocument/2006/customXml" ds:itemID="{AB1504F3-5BF4-4E19-8BE5-DE5C18FFE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Филанович Антон Николаевич</dc:creator>
  <cp:keywords/>
  <dc:description/>
  <cp:lastModifiedBy>Харлов Андрей Вячеславович</cp:lastModifiedBy>
  <cp:revision/>
  <dcterms:created xsi:type="dcterms:W3CDTF">2026-07-23T12:04:55Z</dcterms:created>
  <dcterms:modified xsi:type="dcterms:W3CDTF">2026-10-01T22:51:22Z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0x010100E8691F8B07393A4B91CF409C6DCE171C</vt:lpwstr>
  </property>
</Properties>
</file>